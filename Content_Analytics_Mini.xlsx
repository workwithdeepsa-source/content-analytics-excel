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D:\Documents\excel minis\"/>
    </mc:Choice>
  </mc:AlternateContent>
  <xr:revisionPtr revIDLastSave="0" documentId="13_ncr:1_{A6CE9B16-7FE3-40BC-9863-8E0F866FC45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ntent Analytics" sheetId="1" r:id="rId1"/>
    <sheet name="Avg engagement" sheetId="2" r:id="rId2"/>
    <sheet name="Avg reach" sheetId="3" r:id="rId3"/>
    <sheet name="Insights" sheetId="4" r:id="rId4"/>
  </sheets>
  <calcPr calcId="191029"/>
  <pivotCaches>
    <pivotCache cacheId="3" r:id="rId5"/>
    <pivotCache cacheId="7" r:id="rId6"/>
  </pivotCaches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7" i="1"/>
</calcChain>
</file>

<file path=xl/sharedStrings.xml><?xml version="1.0" encoding="utf-8"?>
<sst xmlns="http://schemas.openxmlformats.org/spreadsheetml/2006/main" count="47" uniqueCount="27">
  <si>
    <t>Post Date</t>
  </si>
  <si>
    <t>Content Format</t>
  </si>
  <si>
    <t>Reach</t>
  </si>
  <si>
    <t>Likes</t>
  </si>
  <si>
    <t>Comments</t>
  </si>
  <si>
    <t>Saves</t>
  </si>
  <si>
    <t>Engagement Rate</t>
  </si>
  <si>
    <t>Reel</t>
  </si>
  <si>
    <t>Carousel</t>
  </si>
  <si>
    <t>Row Labels</t>
  </si>
  <si>
    <t>Grand Total</t>
  </si>
  <si>
    <t>Average of Engagement Rate</t>
  </si>
  <si>
    <t>Posting Day</t>
  </si>
  <si>
    <t>Monday</t>
  </si>
  <si>
    <t>Tuesday</t>
  </si>
  <si>
    <t>Wednesday</t>
  </si>
  <si>
    <t>Thursday</t>
  </si>
  <si>
    <t>Friday</t>
  </si>
  <si>
    <t>Saturday</t>
  </si>
  <si>
    <t>Sunday</t>
  </si>
  <si>
    <t>Average of Reach</t>
  </si>
  <si>
    <t>Content Performance Insights</t>
  </si>
  <si>
    <t>1. Reels generated the highest average reach across content formats, indicating stronger algorithm-driven distribution and discoverability.</t>
  </si>
  <si>
    <t>2. Carousel posts showed higher save rates and comparable engagement rates, suggesting value-driven or informational content encouraged deeper user interaction.</t>
  </si>
  <si>
    <t>3. Average reach varied noticeably by posting day, indicating that content performance is influenced by publishing schedule rather than randomness.</t>
  </si>
  <si>
    <t>Tools Used: Microsoft Excel (formulas, pivot tables, charts)</t>
  </si>
  <si>
    <t>Content Performance Analysis of @desi_konya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</si>
</sst>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left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[Content_Analytics_Mini.xlsx]Avg engagement!PivotTable1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engagement'!$B$3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engagement'!$A$4:$A$6</c:f>
              <c:strCache>
                <c:ptCount val="2"/>
                <c:pt idx="0">
                  <c:v>Carousel</c:v>
                </c:pt>
                <c:pt idx="1">
                  <c:v>Reel</c:v>
                </c:pt>
              </c:strCache>
            </c:strRef>
          </c:cat>
          <c:val>
            <c:numRef>
              <c:f>'Avg engagement'!$B$4:$B$6</c:f>
              <c:numCache>
                <c:formatCode>0.00%</c:formatCode>
                <c:ptCount val="2"/>
                <c:pt idx="0">
                  <c:v>6.9813864077012039E-2</c:v>
                </c:pt>
                <c:pt idx="1">
                  <c:v>4.7869879407272956E-2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5-46D9-A379-FA5EBEAD2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011024"/>
        <c:axId val="1612013424"/>
      </c:barChart>
      <c:catAx>
        <c:axId val="161201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13424"/>
        <c:crosses val="autoZero"/>
        <c:auto val="1"/>
        <c:lblAlgn val="ctr"/>
        <c:lblOffset val="100"/>
        <c:noMultiLvlLbl val="0"/>
      </c:catAx>
      <c:valAx>
        <c:axId val="16120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1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[Content_Analytics_Mini.xlsx]Avg reach!PivotTable2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reach'!$B$3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reach'!$A$4:$A$11</c:f>
              <c:strCache>
                <c:ptCount val="7"/>
                <c:pt idx="0">
                  <c:v>Monday</c:v>
                </c:pt>
                <c:pt idx="1">
                  <c:v>Friday</c:v>
                </c:pt>
                <c:pt idx="2">
                  <c:v>Saturday</c:v>
                </c:pt>
                <c:pt idx="3">
                  <c:v>Wednesday</c:v>
                </c:pt>
                <c:pt idx="4">
                  <c:v>Tuesday</c:v>
                </c:pt>
                <c:pt idx="5">
                  <c:v>Thursday</c:v>
                </c:pt>
                <c:pt idx="6">
                  <c:v>Sunday</c:v>
                </c:pt>
              </c:strCache>
            </c:strRef>
          </c:cat>
          <c:val>
            <c:numRef>
              <c:f>'Avg reach'!$B$4:$B$11</c:f>
              <c:numCache>
                <c:formatCode>General</c:formatCode>
                <c:ptCount val="7"/>
                <c:pt idx="0">
                  <c:v>1848</c:v>
                </c:pt>
                <c:pt idx="1">
                  <c:v>1755.5</c:v>
                </c:pt>
                <c:pt idx="2">
                  <c:v>1565</c:v>
                </c:pt>
                <c:pt idx="3">
                  <c:v>1478.3333333333333</c:v>
                </c:pt>
                <c:pt idx="4">
                  <c:v>1410.75</c:v>
                </c:pt>
                <c:pt idx="5">
                  <c:v>1297</c:v>
                </c:pt>
                <c:pt idx="6">
                  <c:v>1280.5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C-44EC-8A33-0A51E2127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067136"/>
        <c:axId val="1615067616"/>
      </c:barChart>
      <c:catAx>
        <c:axId val="16150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067616"/>
        <c:crosses val="autoZero"/>
        <c:auto val="1"/>
        <c:lblAlgn val="ctr"/>
        <c:lblOffset val="100"/>
        <c:noMultiLvlLbl val="0"/>
      </c:catAx>
      <c:valAx>
        <c:axId val="16150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06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274320</xdr:colOff>
      <xdr:row>6</xdr:row>
      <xdr:rowOff>140970</xdr:rowOff>
    </xdr:from>
    <xdr:to>
      <xdr:col>7</xdr:col>
      <xdr:colOff>30480</xdr:colOff>
      <xdr:row>21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001A5C-4E8D-F9FE-BFEA-A784AA1DD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2</xdr:row>
      <xdr:rowOff>3810</xdr:rowOff>
    </xdr:from>
    <xdr:to>
      <xdr:col>9</xdr:col>
      <xdr:colOff>426720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F5B7BF-A9FF-318C-5DB9-522A70600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sa" refreshedDate="46050.936877083332" createdVersion="8" refreshedVersion="8" minRefreshableVersion="3" recordCount="18" xr:uid="{4FEBB325-F535-4A48-A229-D5B987EFC8F5}">
  <cacheSource type="worksheet">
    <worksheetSource ref="A6:G24" sheet="Content Analytics"/>
  </cacheSource>
  <cacheFields count="7">
    <cacheField name="Post Date" numFmtId="14">
      <sharedItems containsSemiMixedTypes="0" containsNonDate="0" containsDate="1" containsString="0" minDate="2025-10-21T00:00:00" maxDate="2026-01-29T00:00:00"/>
    </cacheField>
    <cacheField name="Content Format" numFmtId="0">
      <sharedItems count="2">
        <s v="Reel"/>
        <s v="Carousel"/>
      </sharedItems>
    </cacheField>
    <cacheField name="Reach" numFmtId="0">
      <sharedItems containsSemiMixedTypes="0" containsString="0" containsNumber="1" containsInteger="1" minValue="650" maxValue="2457"/>
    </cacheField>
    <cacheField name="Likes" numFmtId="0">
      <sharedItems containsSemiMixedTypes="0" containsString="0" containsNumber="1" containsInteger="1" minValue="19" maxValue="122"/>
    </cacheField>
    <cacheField name="Comments" numFmtId="0">
      <sharedItems containsSemiMixedTypes="0" containsString="0" containsNumber="1" containsInteger="1" minValue="1" maxValue="26"/>
    </cacheField>
    <cacheField name="Saves" numFmtId="0">
      <sharedItems containsSemiMixedTypes="0" containsString="0" containsNumber="1" containsInteger="1" minValue="0" maxValue="7"/>
    </cacheField>
    <cacheField name="Engagement Rate" numFmtId="0">
      <sharedItems containsSemiMixedTypes="0" containsString="0" containsNumber="1" minValue="2.4305555555555556E-2" maxValue="7.758620689655172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sa" refreshedDate="46050.940990625" createdVersion="8" refreshedVersion="8" minRefreshableVersion="3" recordCount="18" xr:uid="{A1A350D1-4853-4747-A81A-BB02F318EC80}">
  <cacheSource type="worksheet">
    <worksheetSource ref="A6:H24" sheet="Content Analytics"/>
  </cacheSource>
  <cacheFields count="8">
    <cacheField name="Post Date" numFmtId="14">
      <sharedItems containsSemiMixedTypes="0" containsNonDate="0" containsDate="1" containsString="0" minDate="2025-10-21T00:00:00" maxDate="2026-01-29T00:00:00"/>
    </cacheField>
    <cacheField name="Content Format" numFmtId="0">
      <sharedItems/>
    </cacheField>
    <cacheField name="Reach" numFmtId="0">
      <sharedItems containsSemiMixedTypes="0" containsString="0" containsNumber="1" containsInteger="1" minValue="650" maxValue="2457"/>
    </cacheField>
    <cacheField name="Likes" numFmtId="0">
      <sharedItems containsSemiMixedTypes="0" containsString="0" containsNumber="1" containsInteger="1" minValue="19" maxValue="122"/>
    </cacheField>
    <cacheField name="Comments" numFmtId="0">
      <sharedItems containsSemiMixedTypes="0" containsString="0" containsNumber="1" containsInteger="1" minValue="1" maxValue="26"/>
    </cacheField>
    <cacheField name="Saves" numFmtId="0">
      <sharedItems containsSemiMixedTypes="0" containsString="0" containsNumber="1" containsInteger="1" minValue="0" maxValue="7"/>
    </cacheField>
    <cacheField name="Engagement Rate" numFmtId="0">
      <sharedItems containsSemiMixedTypes="0" containsString="0" containsNumber="1" minValue="2.4305555555555556E-2" maxValue="7.7586206896551727E-2"/>
    </cacheField>
    <cacheField name="Posting Day" numFmtId="0">
      <sharedItems count="7">
        <s v="Tuesday"/>
        <s v="Sunday"/>
        <s v="Wednesday"/>
        <s v="Monday"/>
        <s v="Thursday"/>
        <s v="Friday"/>
        <s v="Satur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5-10-21T00:00:00"/>
    <x v="0"/>
    <n v="1921"/>
    <n v="103"/>
    <n v="19"/>
    <n v="5"/>
    <n v="6.6111400312337323E-2"/>
  </r>
  <r>
    <d v="2025-10-26T00:00:00"/>
    <x v="0"/>
    <n v="1839"/>
    <n v="65"/>
    <n v="12"/>
    <n v="5"/>
    <n v="4.4589450788471999E-2"/>
  </r>
  <r>
    <d v="2025-11-05T00:00:00"/>
    <x v="0"/>
    <n v="2342"/>
    <n v="71"/>
    <n v="21"/>
    <n v="7"/>
    <n v="4.2271562766865924E-2"/>
  </r>
  <r>
    <d v="2025-11-10T00:00:00"/>
    <x v="0"/>
    <n v="1516"/>
    <n v="59"/>
    <n v="8"/>
    <n v="0"/>
    <n v="4.4195250659630606E-2"/>
  </r>
  <r>
    <d v="2025-11-13T00:00:00"/>
    <x v="0"/>
    <n v="1152"/>
    <n v="25"/>
    <n v="3"/>
    <n v="0"/>
    <n v="2.4305555555555556E-2"/>
  </r>
  <r>
    <d v="2025-11-21T00:00:00"/>
    <x v="0"/>
    <n v="1054"/>
    <n v="42"/>
    <n v="8"/>
    <n v="1"/>
    <n v="4.8387096774193547E-2"/>
  </r>
  <r>
    <d v="2025-12-04T00:00:00"/>
    <x v="0"/>
    <n v="1442"/>
    <n v="44"/>
    <n v="3"/>
    <n v="0"/>
    <n v="3.2593619972260748E-2"/>
  </r>
  <r>
    <d v="2025-12-05T00:00:00"/>
    <x v="0"/>
    <n v="2457"/>
    <n v="80"/>
    <n v="26"/>
    <n v="3"/>
    <n v="4.4363044363044363E-2"/>
  </r>
  <r>
    <d v="2025-12-06T00:00:00"/>
    <x v="0"/>
    <n v="1825"/>
    <n v="88"/>
    <n v="15"/>
    <n v="2"/>
    <n v="5.7534246575342465E-2"/>
  </r>
  <r>
    <d v="2025-12-08T00:00:00"/>
    <x v="1"/>
    <n v="2180"/>
    <n v="115"/>
    <n v="5"/>
    <n v="0"/>
    <n v="5.5045871559633031E-2"/>
  </r>
  <r>
    <d v="2025-12-16T00:00:00"/>
    <x v="1"/>
    <n v="1704"/>
    <n v="122"/>
    <n v="8"/>
    <n v="1"/>
    <n v="7.6877934272300469E-2"/>
  </r>
  <r>
    <d v="2025-12-16T00:00:00"/>
    <x v="0"/>
    <n v="1368"/>
    <n v="52"/>
    <n v="16"/>
    <n v="5"/>
    <n v="5.3362573099415202E-2"/>
  </r>
  <r>
    <d v="2026-01-03T00:00:00"/>
    <x v="1"/>
    <n v="1478"/>
    <n v="106"/>
    <n v="1"/>
    <n v="0"/>
    <n v="7.2395128552097426E-2"/>
  </r>
  <r>
    <d v="2026-01-10T00:00:00"/>
    <x v="1"/>
    <n v="1392"/>
    <n v="100"/>
    <n v="8"/>
    <n v="0"/>
    <n v="7.7586206896551727E-2"/>
  </r>
  <r>
    <d v="2026-01-11T00:00:00"/>
    <x v="0"/>
    <n v="722"/>
    <n v="44"/>
    <n v="1"/>
    <n v="0"/>
    <n v="6.2326869806094184E-2"/>
  </r>
  <r>
    <d v="2026-01-20T00:00:00"/>
    <x v="0"/>
    <n v="650"/>
    <n v="19"/>
    <n v="1"/>
    <n v="0"/>
    <n v="3.0769230769230771E-2"/>
  </r>
  <r>
    <d v="2026-01-21T00:00:00"/>
    <x v="1"/>
    <n v="1072"/>
    <n v="70"/>
    <n v="2"/>
    <n v="0"/>
    <n v="6.7164179104477612E-2"/>
  </r>
  <r>
    <d v="2026-01-28T00:00:00"/>
    <x v="0"/>
    <n v="1021"/>
    <n v="59"/>
    <n v="14"/>
    <n v="0"/>
    <n v="7.1498530852105779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5-10-21T00:00:00"/>
    <s v="Reel"/>
    <n v="1921"/>
    <n v="103"/>
    <n v="19"/>
    <n v="5"/>
    <n v="6.6111400312337323E-2"/>
    <x v="0"/>
  </r>
  <r>
    <d v="2025-10-26T00:00:00"/>
    <s v="Reel"/>
    <n v="1839"/>
    <n v="65"/>
    <n v="12"/>
    <n v="5"/>
    <n v="4.4589450788471999E-2"/>
    <x v="1"/>
  </r>
  <r>
    <d v="2025-11-05T00:00:00"/>
    <s v="Reel"/>
    <n v="2342"/>
    <n v="71"/>
    <n v="21"/>
    <n v="7"/>
    <n v="4.2271562766865924E-2"/>
    <x v="2"/>
  </r>
  <r>
    <d v="2025-11-10T00:00:00"/>
    <s v="Reel"/>
    <n v="1516"/>
    <n v="59"/>
    <n v="8"/>
    <n v="0"/>
    <n v="4.4195250659630606E-2"/>
    <x v="3"/>
  </r>
  <r>
    <d v="2025-11-13T00:00:00"/>
    <s v="Reel"/>
    <n v="1152"/>
    <n v="25"/>
    <n v="3"/>
    <n v="0"/>
    <n v="2.4305555555555556E-2"/>
    <x v="4"/>
  </r>
  <r>
    <d v="2025-11-21T00:00:00"/>
    <s v="Reel"/>
    <n v="1054"/>
    <n v="42"/>
    <n v="8"/>
    <n v="1"/>
    <n v="4.8387096774193547E-2"/>
    <x v="5"/>
  </r>
  <r>
    <d v="2025-12-04T00:00:00"/>
    <s v="Reel"/>
    <n v="1442"/>
    <n v="44"/>
    <n v="3"/>
    <n v="0"/>
    <n v="3.2593619972260748E-2"/>
    <x v="4"/>
  </r>
  <r>
    <d v="2025-12-05T00:00:00"/>
    <s v="Reel"/>
    <n v="2457"/>
    <n v="80"/>
    <n v="26"/>
    <n v="3"/>
    <n v="4.4363044363044363E-2"/>
    <x v="5"/>
  </r>
  <r>
    <d v="2025-12-06T00:00:00"/>
    <s v="Reel"/>
    <n v="1825"/>
    <n v="88"/>
    <n v="15"/>
    <n v="2"/>
    <n v="5.7534246575342465E-2"/>
    <x v="6"/>
  </r>
  <r>
    <d v="2025-12-08T00:00:00"/>
    <s v="Carousel"/>
    <n v="2180"/>
    <n v="115"/>
    <n v="5"/>
    <n v="0"/>
    <n v="5.5045871559633031E-2"/>
    <x v="3"/>
  </r>
  <r>
    <d v="2025-12-16T00:00:00"/>
    <s v="Carousel"/>
    <n v="1704"/>
    <n v="122"/>
    <n v="8"/>
    <n v="1"/>
    <n v="7.6877934272300469E-2"/>
    <x v="0"/>
  </r>
  <r>
    <d v="2025-12-16T00:00:00"/>
    <s v="Reel"/>
    <n v="1368"/>
    <n v="52"/>
    <n v="16"/>
    <n v="5"/>
    <n v="5.3362573099415202E-2"/>
    <x v="0"/>
  </r>
  <r>
    <d v="2026-01-03T00:00:00"/>
    <s v="Carousel"/>
    <n v="1478"/>
    <n v="106"/>
    <n v="1"/>
    <n v="0"/>
    <n v="7.2395128552097426E-2"/>
    <x v="6"/>
  </r>
  <r>
    <d v="2026-01-10T00:00:00"/>
    <s v="Carousel"/>
    <n v="1392"/>
    <n v="100"/>
    <n v="8"/>
    <n v="0"/>
    <n v="7.7586206896551727E-2"/>
    <x v="6"/>
  </r>
  <r>
    <d v="2026-01-11T00:00:00"/>
    <s v="Reel"/>
    <n v="722"/>
    <n v="44"/>
    <n v="1"/>
    <n v="0"/>
    <n v="6.2326869806094184E-2"/>
    <x v="1"/>
  </r>
  <r>
    <d v="2026-01-20T00:00:00"/>
    <s v="Reel"/>
    <n v="650"/>
    <n v="19"/>
    <n v="1"/>
    <n v="0"/>
    <n v="3.0769230769230771E-2"/>
    <x v="0"/>
  </r>
  <r>
    <d v="2026-01-21T00:00:00"/>
    <s v="Carousel"/>
    <n v="1072"/>
    <n v="70"/>
    <n v="2"/>
    <n v="0"/>
    <n v="6.7164179104477612E-2"/>
    <x v="2"/>
  </r>
  <r>
    <d v="2026-01-28T00:00:00"/>
    <s v="Reel"/>
    <n v="1021"/>
    <n v="59"/>
    <n v="14"/>
    <n v="0"/>
    <n v="7.1498530852105779E-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3085C-EBD5-4390-A9FB-D2EF6434823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7">
    <pivotField numFmtId="14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Engagement Rate" fld="6" subtotal="average" baseField="1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7C10C-42D3-4AEE-9851-646DA9B15B4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1" firstHeaderRow="1" firstDataRow="1" firstDataCol="1"/>
  <pivotFields count="8">
    <pivotField numFmtId="14"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8">
        <item x="3"/>
        <item x="0"/>
        <item x="2"/>
        <item x="4"/>
        <item x="5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8">
    <i>
      <x/>
    </i>
    <i>
      <x v="4"/>
    </i>
    <i>
      <x v="5"/>
    </i>
    <i>
      <x v="2"/>
    </i>
    <i>
      <x v="1"/>
    </i>
    <i>
      <x v="3"/>
    </i>
    <i>
      <x v="6"/>
    </i>
    <i t="grand">
      <x/>
    </i>
  </rowItems>
  <colItems count="1">
    <i/>
  </colItems>
  <dataFields count="1">
    <dataField name="Average of Reach" fld="2" subtotal="average" baseField="7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4"/>
  <sheetViews>
    <sheetView tabSelected="1" workbookViewId="0">
      <selection activeCell="H4" sqref="H4"/>
    </sheetView>
  </sheetViews>
  <sheetFormatPr defaultRowHeight="14.4" x14ac:dyDescent="0.3"/>
  <cols>
    <col min="1" max="1" width="13.5546875" customWidth="1"/>
    <col min="2" max="2" width="15.109375" customWidth="1"/>
    <col min="3" max="3" width="9" customWidth="1"/>
    <col min="5" max="5" width="11.109375" customWidth="1"/>
    <col min="7" max="7" width="17.109375" customWidth="1"/>
    <col min="8" max="8" width="11.21875" customWidth="1"/>
  </cols>
  <sheetData>
    <row r="2" spans="1:8" x14ac:dyDescent="0.3">
      <c r="B2" s="7" t="s">
        <v>26</v>
      </c>
      <c r="C2" s="7"/>
      <c r="D2" s="7"/>
      <c r="E2" s="7"/>
      <c r="F2" s="7"/>
      <c r="G2" s="7"/>
    </row>
    <row r="3" spans="1:8" x14ac:dyDescent="0.3">
      <c r="B3" s="7"/>
      <c r="C3" s="7"/>
      <c r="D3" s="7"/>
      <c r="E3" s="7"/>
      <c r="F3" s="7"/>
      <c r="G3" s="7"/>
    </row>
    <row r="6" spans="1:8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12</v>
      </c>
    </row>
    <row r="7" spans="1:8" x14ac:dyDescent="0.3">
      <c r="A7" s="1">
        <v>45951</v>
      </c>
      <c r="B7" t="s">
        <v>7</v>
      </c>
      <c r="C7">
        <v>1921</v>
      </c>
      <c r="D7">
        <v>103</v>
      </c>
      <c r="E7">
        <v>19</v>
      </c>
      <c r="F7">
        <v>5</v>
      </c>
      <c r="G7">
        <f>(D7+E7+F7)/C7</f>
        <v>6.6111400312337323E-2</v>
      </c>
      <c r="H7" t="str">
        <f>TEXT(A7,"dddd")</f>
        <v>Tuesday</v>
      </c>
    </row>
    <row r="8" spans="1:8" x14ac:dyDescent="0.3">
      <c r="A8" s="1">
        <v>45956</v>
      </c>
      <c r="B8" t="s">
        <v>7</v>
      </c>
      <c r="C8">
        <v>1839</v>
      </c>
      <c r="D8">
        <v>65</v>
      </c>
      <c r="E8">
        <v>12</v>
      </c>
      <c r="F8">
        <v>5</v>
      </c>
      <c r="G8">
        <f t="shared" ref="G8:G24" si="0">(D8+E8+F8)/C8</f>
        <v>4.4589450788471999E-2</v>
      </c>
      <c r="H8" t="str">
        <f t="shared" ref="H8:H24" si="1">TEXT(A8,"dddd")</f>
        <v>Sunday</v>
      </c>
    </row>
    <row r="9" spans="1:8" x14ac:dyDescent="0.3">
      <c r="A9" s="1">
        <v>45966</v>
      </c>
      <c r="B9" t="s">
        <v>7</v>
      </c>
      <c r="C9">
        <v>2342</v>
      </c>
      <c r="D9">
        <v>71</v>
      </c>
      <c r="E9">
        <v>21</v>
      </c>
      <c r="F9">
        <v>7</v>
      </c>
      <c r="G9">
        <f t="shared" si="0"/>
        <v>4.2271562766865924E-2</v>
      </c>
      <c r="H9" t="str">
        <f t="shared" si="1"/>
        <v>Wednesday</v>
      </c>
    </row>
    <row r="10" spans="1:8" x14ac:dyDescent="0.3">
      <c r="A10" s="1">
        <v>45971</v>
      </c>
      <c r="B10" t="s">
        <v>7</v>
      </c>
      <c r="C10">
        <v>1516</v>
      </c>
      <c r="D10">
        <v>59</v>
      </c>
      <c r="E10">
        <v>8</v>
      </c>
      <c r="F10">
        <v>0</v>
      </c>
      <c r="G10">
        <f t="shared" si="0"/>
        <v>4.4195250659630606E-2</v>
      </c>
      <c r="H10" t="str">
        <f t="shared" si="1"/>
        <v>Monday</v>
      </c>
    </row>
    <row r="11" spans="1:8" x14ac:dyDescent="0.3">
      <c r="A11" s="1">
        <v>45974</v>
      </c>
      <c r="B11" t="s">
        <v>7</v>
      </c>
      <c r="C11">
        <v>1152</v>
      </c>
      <c r="D11">
        <v>25</v>
      </c>
      <c r="E11">
        <v>3</v>
      </c>
      <c r="F11">
        <v>0</v>
      </c>
      <c r="G11">
        <f t="shared" si="0"/>
        <v>2.4305555555555556E-2</v>
      </c>
      <c r="H11" t="str">
        <f t="shared" si="1"/>
        <v>Thursday</v>
      </c>
    </row>
    <row r="12" spans="1:8" x14ac:dyDescent="0.3">
      <c r="A12" s="1">
        <v>45982</v>
      </c>
      <c r="B12" t="s">
        <v>7</v>
      </c>
      <c r="C12">
        <v>1054</v>
      </c>
      <c r="D12">
        <v>42</v>
      </c>
      <c r="E12">
        <v>8</v>
      </c>
      <c r="F12">
        <v>1</v>
      </c>
      <c r="G12">
        <f t="shared" si="0"/>
        <v>4.8387096774193547E-2</v>
      </c>
      <c r="H12" t="str">
        <f t="shared" si="1"/>
        <v>Friday</v>
      </c>
    </row>
    <row r="13" spans="1:8" x14ac:dyDescent="0.3">
      <c r="A13" s="1">
        <v>45995</v>
      </c>
      <c r="B13" t="s">
        <v>7</v>
      </c>
      <c r="C13">
        <v>1442</v>
      </c>
      <c r="D13">
        <v>44</v>
      </c>
      <c r="E13">
        <v>3</v>
      </c>
      <c r="F13">
        <v>0</v>
      </c>
      <c r="G13">
        <f t="shared" si="0"/>
        <v>3.2593619972260748E-2</v>
      </c>
      <c r="H13" t="str">
        <f t="shared" si="1"/>
        <v>Thursday</v>
      </c>
    </row>
    <row r="14" spans="1:8" x14ac:dyDescent="0.3">
      <c r="A14" s="1">
        <v>45996</v>
      </c>
      <c r="B14" t="s">
        <v>7</v>
      </c>
      <c r="C14">
        <v>2457</v>
      </c>
      <c r="D14">
        <v>80</v>
      </c>
      <c r="E14">
        <v>26</v>
      </c>
      <c r="F14">
        <v>3</v>
      </c>
      <c r="G14">
        <f t="shared" si="0"/>
        <v>4.4363044363044363E-2</v>
      </c>
      <c r="H14" t="str">
        <f t="shared" si="1"/>
        <v>Friday</v>
      </c>
    </row>
    <row r="15" spans="1:8" x14ac:dyDescent="0.3">
      <c r="A15" s="1">
        <v>45997</v>
      </c>
      <c r="B15" t="s">
        <v>7</v>
      </c>
      <c r="C15">
        <v>1825</v>
      </c>
      <c r="D15">
        <v>88</v>
      </c>
      <c r="E15">
        <v>15</v>
      </c>
      <c r="F15">
        <v>2</v>
      </c>
      <c r="G15">
        <f t="shared" si="0"/>
        <v>5.7534246575342465E-2</v>
      </c>
      <c r="H15" t="str">
        <f t="shared" si="1"/>
        <v>Saturday</v>
      </c>
    </row>
    <row r="16" spans="1:8" x14ac:dyDescent="0.3">
      <c r="A16" s="1">
        <v>45999</v>
      </c>
      <c r="B16" t="s">
        <v>8</v>
      </c>
      <c r="C16">
        <v>2180</v>
      </c>
      <c r="D16">
        <v>115</v>
      </c>
      <c r="E16">
        <v>5</v>
      </c>
      <c r="F16">
        <v>0</v>
      </c>
      <c r="G16">
        <f t="shared" si="0"/>
        <v>5.5045871559633031E-2</v>
      </c>
      <c r="H16" t="str">
        <f t="shared" si="1"/>
        <v>Monday</v>
      </c>
    </row>
    <row r="17" spans="1:8" x14ac:dyDescent="0.3">
      <c r="A17" s="1">
        <v>46007</v>
      </c>
      <c r="B17" t="s">
        <v>8</v>
      </c>
      <c r="C17">
        <v>1704</v>
      </c>
      <c r="D17">
        <v>122</v>
      </c>
      <c r="E17">
        <v>8</v>
      </c>
      <c r="F17">
        <v>1</v>
      </c>
      <c r="G17">
        <f t="shared" si="0"/>
        <v>7.6877934272300469E-2</v>
      </c>
      <c r="H17" t="str">
        <f t="shared" si="1"/>
        <v>Tuesday</v>
      </c>
    </row>
    <row r="18" spans="1:8" x14ac:dyDescent="0.3">
      <c r="A18" s="1">
        <v>46007</v>
      </c>
      <c r="B18" t="s">
        <v>7</v>
      </c>
      <c r="C18">
        <v>1368</v>
      </c>
      <c r="D18">
        <v>52</v>
      </c>
      <c r="E18">
        <v>16</v>
      </c>
      <c r="F18">
        <v>5</v>
      </c>
      <c r="G18">
        <f t="shared" si="0"/>
        <v>5.3362573099415202E-2</v>
      </c>
      <c r="H18" t="str">
        <f t="shared" si="1"/>
        <v>Tuesday</v>
      </c>
    </row>
    <row r="19" spans="1:8" x14ac:dyDescent="0.3">
      <c r="A19" s="1">
        <v>46025</v>
      </c>
      <c r="B19" t="s">
        <v>8</v>
      </c>
      <c r="C19">
        <v>1478</v>
      </c>
      <c r="D19">
        <v>106</v>
      </c>
      <c r="E19">
        <v>1</v>
      </c>
      <c r="F19">
        <v>0</v>
      </c>
      <c r="G19">
        <f t="shared" si="0"/>
        <v>7.2395128552097426E-2</v>
      </c>
      <c r="H19" t="str">
        <f t="shared" si="1"/>
        <v>Saturday</v>
      </c>
    </row>
    <row r="20" spans="1:8" x14ac:dyDescent="0.3">
      <c r="A20" s="1">
        <v>46032</v>
      </c>
      <c r="B20" t="s">
        <v>8</v>
      </c>
      <c r="C20">
        <v>1392</v>
      </c>
      <c r="D20">
        <v>100</v>
      </c>
      <c r="E20">
        <v>8</v>
      </c>
      <c r="F20">
        <v>0</v>
      </c>
      <c r="G20">
        <f t="shared" si="0"/>
        <v>7.7586206896551727E-2</v>
      </c>
      <c r="H20" t="str">
        <f t="shared" si="1"/>
        <v>Saturday</v>
      </c>
    </row>
    <row r="21" spans="1:8" x14ac:dyDescent="0.3">
      <c r="A21" s="1">
        <v>46033</v>
      </c>
      <c r="B21" t="s">
        <v>7</v>
      </c>
      <c r="C21">
        <v>722</v>
      </c>
      <c r="D21">
        <v>44</v>
      </c>
      <c r="E21">
        <v>1</v>
      </c>
      <c r="F21">
        <v>0</v>
      </c>
      <c r="G21">
        <f t="shared" si="0"/>
        <v>6.2326869806094184E-2</v>
      </c>
      <c r="H21" t="str">
        <f t="shared" si="1"/>
        <v>Sunday</v>
      </c>
    </row>
    <row r="22" spans="1:8" x14ac:dyDescent="0.3">
      <c r="A22" s="1">
        <v>46042</v>
      </c>
      <c r="B22" t="s">
        <v>7</v>
      </c>
      <c r="C22">
        <v>650</v>
      </c>
      <c r="D22">
        <v>19</v>
      </c>
      <c r="E22">
        <v>1</v>
      </c>
      <c r="F22">
        <v>0</v>
      </c>
      <c r="G22">
        <f t="shared" si="0"/>
        <v>3.0769230769230771E-2</v>
      </c>
      <c r="H22" t="str">
        <f t="shared" si="1"/>
        <v>Tuesday</v>
      </c>
    </row>
    <row r="23" spans="1:8" x14ac:dyDescent="0.3">
      <c r="A23" s="1">
        <v>46043</v>
      </c>
      <c r="B23" t="s">
        <v>8</v>
      </c>
      <c r="C23">
        <v>1072</v>
      </c>
      <c r="D23">
        <v>70</v>
      </c>
      <c r="E23">
        <v>2</v>
      </c>
      <c r="F23">
        <v>0</v>
      </c>
      <c r="G23">
        <f t="shared" si="0"/>
        <v>6.7164179104477612E-2</v>
      </c>
      <c r="H23" t="str">
        <f t="shared" si="1"/>
        <v>Wednesday</v>
      </c>
    </row>
    <row r="24" spans="1:8" x14ac:dyDescent="0.3">
      <c r="A24" s="1">
        <v>46050</v>
      </c>
      <c r="B24" t="s">
        <v>7</v>
      </c>
      <c r="C24">
        <v>1021</v>
      </c>
      <c r="D24">
        <v>59</v>
      </c>
      <c r="E24">
        <v>14</v>
      </c>
      <c r="F24">
        <v>0</v>
      </c>
      <c r="G24">
        <f t="shared" si="0"/>
        <v>7.1498530852105779E-2</v>
      </c>
      <c r="H24" t="str">
        <f t="shared" si="1"/>
        <v>Wednesday</v>
      </c>
    </row>
  </sheetData>
  <mergeCells count="1">
    <mergeCell ref="B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64C3-BD4A-4FBA-8320-859BFEA1AE5C}">
  <dimension ref="A3:B6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5.77734375" bestFit="1" customWidth="1"/>
  </cols>
  <sheetData>
    <row r="3" spans="1:2" x14ac:dyDescent="0.3">
      <c r="A3" s="3" t="s">
        <v>9</v>
      </c>
      <c r="B3" t="s">
        <v>11</v>
      </c>
    </row>
    <row r="4" spans="1:2" x14ac:dyDescent="0.3">
      <c r="A4" s="4" t="s">
        <v>8</v>
      </c>
      <c r="B4" s="6">
        <v>6.9813864077012039E-2</v>
      </c>
    </row>
    <row r="5" spans="1:2" x14ac:dyDescent="0.3">
      <c r="A5" s="4" t="s">
        <v>7</v>
      </c>
      <c r="B5" s="6">
        <v>4.7869879407272956E-2</v>
      </c>
    </row>
    <row r="6" spans="1:2" x14ac:dyDescent="0.3">
      <c r="A6" s="4" t="s">
        <v>10</v>
      </c>
      <c r="B6" s="6">
        <v>5.3965430704422696E-2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86FE-40AB-4F93-80AF-BF6F87ADFF46}">
  <dimension ref="A3:B11"/>
  <sheetViews>
    <sheetView workbookViewId="0">
      <selection activeCell="B29" sqref="B29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3" t="s">
        <v>9</v>
      </c>
      <c r="B3" t="s">
        <v>20</v>
      </c>
    </row>
    <row r="4" spans="1:2" x14ac:dyDescent="0.3">
      <c r="A4" s="4" t="s">
        <v>13</v>
      </c>
      <c r="B4" s="5">
        <v>1848</v>
      </c>
    </row>
    <row r="5" spans="1:2" x14ac:dyDescent="0.3">
      <c r="A5" s="4" t="s">
        <v>17</v>
      </c>
      <c r="B5" s="5">
        <v>1755.5</v>
      </c>
    </row>
    <row r="6" spans="1:2" x14ac:dyDescent="0.3">
      <c r="A6" s="4" t="s">
        <v>18</v>
      </c>
      <c r="B6" s="5">
        <v>1565</v>
      </c>
    </row>
    <row r="7" spans="1:2" x14ac:dyDescent="0.3">
      <c r="A7" s="4" t="s">
        <v>15</v>
      </c>
      <c r="B7" s="5">
        <v>1478.3333333333333</v>
      </c>
    </row>
    <row r="8" spans="1:2" x14ac:dyDescent="0.3">
      <c r="A8" s="4" t="s">
        <v>14</v>
      </c>
      <c r="B8" s="5">
        <v>1410.75</v>
      </c>
    </row>
    <row r="9" spans="1:2" x14ac:dyDescent="0.3">
      <c r="A9" s="4" t="s">
        <v>16</v>
      </c>
      <c r="B9" s="5">
        <v>1297</v>
      </c>
    </row>
    <row r="10" spans="1:2" x14ac:dyDescent="0.3">
      <c r="A10" s="4" t="s">
        <v>19</v>
      </c>
      <c r="B10" s="5">
        <v>1280.5</v>
      </c>
    </row>
    <row r="11" spans="1:2" x14ac:dyDescent="0.3">
      <c r="A11" s="4" t="s">
        <v>10</v>
      </c>
      <c r="B11" s="5">
        <v>1507.5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DD19-F3EC-44FE-A17E-C865D82154B4}">
  <dimension ref="A1:A7"/>
  <sheetViews>
    <sheetView workbookViewId="0">
      <selection activeCell="B12" sqref="B12"/>
    </sheetView>
  </sheetViews>
  <sheetFormatPr defaultRowHeight="14.4" x14ac:dyDescent="0.3"/>
  <sheetData>
    <row r="1" spans="1:1" x14ac:dyDescent="0.3">
      <c r="A1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7" spans="1:1" x14ac:dyDescent="0.3">
      <c r="A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 Analytics</vt:lpstr>
      <vt:lpstr>Avg engagement</vt:lpstr>
      <vt:lpstr>Avg reach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Deepsa Baidya</cp:lastModifiedBy>
  <dcterms:created xsi:type="dcterms:W3CDTF">2026-01-28T16:18:23Z</dcterms:created>
  <dcterms:modified xsi:type="dcterms:W3CDTF">2026-01-28T17:27:11Z</dcterms:modified>
</cp:coreProperties>
</file>